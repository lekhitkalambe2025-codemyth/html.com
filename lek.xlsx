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6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3" i="1"/>
  <c r="L4" i="1"/>
  <c r="L5" i="1"/>
  <c r="L7" i="1"/>
  <c r="L8" i="1"/>
  <c r="L9" i="1"/>
  <c r="L10" i="1"/>
  <c r="K4" i="1"/>
  <c r="K5" i="1"/>
  <c r="K6" i="1"/>
  <c r="K7" i="1"/>
  <c r="K8" i="1"/>
  <c r="K9" i="1"/>
  <c r="K10" i="1"/>
  <c r="K3" i="1"/>
  <c r="J2" i="1"/>
  <c r="J3" i="1"/>
  <c r="J4" i="1"/>
  <c r="J5" i="1"/>
  <c r="J6" i="1"/>
  <c r="J7" i="1"/>
  <c r="J8" i="1"/>
  <c r="J9" i="1"/>
  <c r="J10" i="1"/>
  <c r="I3" i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<sst xmlns="http://schemas.openxmlformats.org/spreadsheetml/2006/main" count="32" uniqueCount="32">
  <si>
    <t>PRN</t>
  </si>
  <si>
    <t>Name</t>
  </si>
  <si>
    <t>S1</t>
  </si>
  <si>
    <t>S2</t>
  </si>
  <si>
    <t>S3</t>
  </si>
  <si>
    <t>S4</t>
  </si>
  <si>
    <t>S5</t>
  </si>
  <si>
    <t>Total</t>
  </si>
  <si>
    <t>Percentage</t>
  </si>
  <si>
    <t>Result</t>
  </si>
  <si>
    <t>Distinction</t>
  </si>
  <si>
    <t>Samarth</t>
  </si>
  <si>
    <t>Pradymn</t>
  </si>
  <si>
    <t>Anshul</t>
  </si>
  <si>
    <t>Simrat</t>
  </si>
  <si>
    <t>Mayank</t>
  </si>
  <si>
    <t>Tejas</t>
  </si>
  <si>
    <t>Viraj</t>
  </si>
  <si>
    <t>Chitransh</t>
  </si>
  <si>
    <t>Vedant</t>
  </si>
  <si>
    <t>A</t>
  </si>
  <si>
    <t>I</t>
  </si>
  <si>
    <t>E</t>
  </si>
  <si>
    <t>H</t>
  </si>
  <si>
    <t>B</t>
  </si>
  <si>
    <t>C</t>
  </si>
  <si>
    <t>D</t>
  </si>
  <si>
    <t>F</t>
  </si>
  <si>
    <t>G</t>
  </si>
  <si>
    <t>Opt</t>
  </si>
  <si>
    <t>pass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</si>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</sst>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L2" sqref="L2"/>
    </sheetView>
  </sheetViews>
  <sheetFormatPr defaultRowHeight="15" x14ac:dyDescent="0.25"/>
  <cols>
    <col min="1" max="1" width="12" bestFit="1" customWidth="1"/>
    <col min="2" max="2" width="9.42578125" bestFit="1" customWidth="1"/>
    <col min="3" max="3" width="4.85546875" customWidth="1"/>
    <col min="4" max="4" width="4.7109375" customWidth="1"/>
    <col min="5" max="5" width="5.28515625" customWidth="1"/>
    <col min="6" max="6" width="4.7109375" customWidth="1"/>
    <col min="7" max="7" width="5.7109375" customWidth="1"/>
    <col min="8" max="8" width="11.140625" customWidth="1"/>
    <col min="9" max="9" width="13" customWidth="1"/>
    <col min="10" max="10" width="12.85546875" customWidth="1"/>
    <col min="11" max="11" width="10.85546875" customWidth="1"/>
    <col min="12" max="12" width="13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25070521181</v>
      </c>
      <c r="B2" t="s">
        <v>11</v>
      </c>
      <c r="C2">
        <v>75</v>
      </c>
      <c r="D2">
        <v>76</v>
      </c>
      <c r="E2">
        <v>56</v>
      </c>
      <c r="F2">
        <v>45</v>
      </c>
      <c r="G2">
        <v>81</v>
      </c>
      <c r="H2" t="s">
        <v>20</v>
      </c>
      <c r="I2">
        <f>SUM(C2:G2)</f>
        <v>333</v>
      </c>
      <c r="J2">
        <f>AVERAGE(C2:H2)</f>
        <v>66.599999999999994</v>
      </c>
      <c r="K2" t="s">
        <v>30</v>
      </c>
      <c r="L2" t="s">
        <v>31</v>
      </c>
    </row>
    <row r="3" spans="1:12" x14ac:dyDescent="0.25">
      <c r="A3">
        <v>25070521182</v>
      </c>
      <c r="B3" t="s">
        <v>12</v>
      </c>
      <c r="C3">
        <v>95</v>
      </c>
      <c r="D3">
        <v>56</v>
      </c>
      <c r="E3">
        <v>80</v>
      </c>
      <c r="F3">
        <v>45</v>
      </c>
      <c r="G3">
        <v>71</v>
      </c>
      <c r="H3" t="s">
        <v>24</v>
      </c>
      <c r="I3">
        <f t="shared" ref="I3:I10" si="0">SUM(C3:G3)</f>
        <v>347</v>
      </c>
      <c r="J3">
        <f t="shared" ref="J3:J10" si="1">AVERAGE(C3:G3)</f>
        <v>69.400000000000006</v>
      </c>
      <c r="K3" t="str">
        <f>IF(OR(H2="A",H2="B",H2="C"),"Pass","Fail")</f>
        <v>Pass</v>
      </c>
      <c r="L3" t="str">
        <f t="shared" ref="L3:L10" si="2">IF(J3&gt;=75,"Yes","No")</f>
        <v>No</v>
      </c>
    </row>
    <row r="4" spans="1:12" x14ac:dyDescent="0.25">
      <c r="A4">
        <v>25070521183</v>
      </c>
      <c r="B4" t="s">
        <v>13</v>
      </c>
      <c r="C4">
        <v>90</v>
      </c>
      <c r="D4">
        <v>67</v>
      </c>
      <c r="E4">
        <v>70</v>
      </c>
      <c r="F4">
        <v>56</v>
      </c>
      <c r="G4">
        <v>68</v>
      </c>
      <c r="H4" t="s">
        <v>25</v>
      </c>
      <c r="I4">
        <f t="shared" si="0"/>
        <v>351</v>
      </c>
      <c r="J4">
        <f t="shared" si="1"/>
        <v>70.2</v>
      </c>
      <c r="K4" t="str">
        <f t="shared" ref="K4:K10" si="3">IF(OR(H3="A",H3="B",H3="C"),"Pass","Fail")</f>
        <v>Pass</v>
      </c>
      <c r="L4" t="str">
        <f t="shared" si="2"/>
        <v>No</v>
      </c>
    </row>
    <row r="5" spans="1:12" x14ac:dyDescent="0.25">
      <c r="A5">
        <v>25070521184</v>
      </c>
      <c r="B5" t="s">
        <v>14</v>
      </c>
      <c r="C5">
        <v>87</v>
      </c>
      <c r="D5">
        <v>45</v>
      </c>
      <c r="E5">
        <v>78</v>
      </c>
      <c r="F5">
        <v>67</v>
      </c>
      <c r="G5">
        <v>80</v>
      </c>
      <c r="H5" t="s">
        <v>26</v>
      </c>
      <c r="I5">
        <f t="shared" si="0"/>
        <v>357</v>
      </c>
      <c r="J5">
        <f t="shared" si="1"/>
        <v>71.400000000000006</v>
      </c>
      <c r="K5" t="str">
        <f t="shared" si="3"/>
        <v>Pass</v>
      </c>
      <c r="L5" t="str">
        <f t="shared" si="2"/>
        <v>No</v>
      </c>
    </row>
    <row r="6" spans="1:12" x14ac:dyDescent="0.25">
      <c r="A6">
        <v>25070521185</v>
      </c>
      <c r="B6" t="s">
        <v>15</v>
      </c>
      <c r="C6">
        <v>67</v>
      </c>
      <c r="D6">
        <v>76</v>
      </c>
      <c r="E6">
        <v>98</v>
      </c>
      <c r="F6">
        <v>78</v>
      </c>
      <c r="G6">
        <v>87</v>
      </c>
      <c r="H6" t="s">
        <v>22</v>
      </c>
      <c r="I6">
        <f t="shared" si="0"/>
        <v>406</v>
      </c>
      <c r="J6">
        <f t="shared" si="1"/>
        <v>81.2</v>
      </c>
      <c r="K6" t="str">
        <f t="shared" si="3"/>
        <v>Fail</v>
      </c>
      <c r="L6" t="str">
        <f>IF(J6&gt;=75,"Yes","No")</f>
        <v>Yes</v>
      </c>
    </row>
    <row r="7" spans="1:12" x14ac:dyDescent="0.25">
      <c r="A7">
        <v>25070521186</v>
      </c>
      <c r="B7" t="s">
        <v>16</v>
      </c>
      <c r="C7">
        <v>56</v>
      </c>
      <c r="D7">
        <v>87</v>
      </c>
      <c r="E7">
        <v>76</v>
      </c>
      <c r="F7">
        <v>76</v>
      </c>
      <c r="G7">
        <v>78</v>
      </c>
      <c r="H7" t="s">
        <v>27</v>
      </c>
      <c r="I7">
        <f t="shared" si="0"/>
        <v>373</v>
      </c>
      <c r="J7">
        <f t="shared" si="1"/>
        <v>74.599999999999994</v>
      </c>
      <c r="K7" t="str">
        <f t="shared" si="3"/>
        <v>Fail</v>
      </c>
      <c r="L7" t="str">
        <f t="shared" si="2"/>
        <v>No</v>
      </c>
    </row>
    <row r="8" spans="1:12" x14ac:dyDescent="0.25">
      <c r="A8">
        <v>25070521187</v>
      </c>
      <c r="B8" t="s">
        <v>17</v>
      </c>
      <c r="C8">
        <v>87</v>
      </c>
      <c r="D8">
        <v>56</v>
      </c>
      <c r="E8">
        <v>67</v>
      </c>
      <c r="F8">
        <v>65</v>
      </c>
      <c r="G8">
        <v>97</v>
      </c>
      <c r="H8" t="s">
        <v>28</v>
      </c>
      <c r="I8">
        <f t="shared" si="0"/>
        <v>372</v>
      </c>
      <c r="J8">
        <f t="shared" si="1"/>
        <v>74.400000000000006</v>
      </c>
      <c r="K8" t="str">
        <f t="shared" si="3"/>
        <v>Fail</v>
      </c>
      <c r="L8" t="str">
        <f t="shared" si="2"/>
        <v>No</v>
      </c>
    </row>
    <row r="9" spans="1:12" x14ac:dyDescent="0.25">
      <c r="A9">
        <v>25070521188</v>
      </c>
      <c r="B9" t="s">
        <v>18</v>
      </c>
      <c r="C9">
        <v>78</v>
      </c>
      <c r="D9">
        <v>67</v>
      </c>
      <c r="E9">
        <v>67</v>
      </c>
      <c r="F9">
        <v>56</v>
      </c>
      <c r="G9">
        <v>76</v>
      </c>
      <c r="H9" t="s">
        <v>23</v>
      </c>
      <c r="I9">
        <f t="shared" si="0"/>
        <v>344</v>
      </c>
      <c r="J9">
        <f t="shared" si="1"/>
        <v>68.8</v>
      </c>
      <c r="K9" t="str">
        <f t="shared" si="3"/>
        <v>Fail</v>
      </c>
      <c r="L9" t="str">
        <f t="shared" si="2"/>
        <v>No</v>
      </c>
    </row>
    <row r="10" spans="1:12" x14ac:dyDescent="0.25">
      <c r="A10">
        <v>25070521189</v>
      </c>
      <c r="B10" t="s">
        <v>19</v>
      </c>
      <c r="C10">
        <v>76</v>
      </c>
      <c r="D10">
        <v>65</v>
      </c>
      <c r="E10">
        <v>78</v>
      </c>
      <c r="F10">
        <v>80</v>
      </c>
      <c r="G10">
        <v>65</v>
      </c>
      <c r="H10" t="s">
        <v>21</v>
      </c>
      <c r="I10">
        <f t="shared" si="0"/>
        <v>364</v>
      </c>
      <c r="J10">
        <f t="shared" si="1"/>
        <v>72.8</v>
      </c>
      <c r="K10" t="str">
        <f t="shared" si="3"/>
        <v>Fail</v>
      </c>
      <c r="L10" t="str">
        <f t="shared" si="2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 LAB6</cp:lastModifiedBy>
  <dcterms:created xsi:type="dcterms:W3CDTF">2025-10-08T03:46:06Z</dcterms:created>
  <dcterms:modified xsi:type="dcterms:W3CDTF">2025-10-08T05:12:54Z</dcterms:modified>
</cp:coreProperties>
</file>